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01210b2e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67e51c9a92b42cc"/>
    <x:sheet xmlns:r="http://schemas.openxmlformats.org/officeDocument/2006/relationships" name="Assumptions" sheetId="2" r:id="R809f328096634b12"/>
    <x:sheet xmlns:r="http://schemas.openxmlformats.org/officeDocument/2006/relationships" name="Unit Economics" sheetId="3" r:id="R7997ac842cb94e45"/>
    <x:sheet xmlns:r="http://schemas.openxmlformats.org/officeDocument/2006/relationships" name="Sensitivity" sheetId="4" r:id="R48b4eff63b0b4b6b"/>
    <x:sheet xmlns:r="http://schemas.openxmlformats.org/officeDocument/2006/relationships" name="Audit &amp; Billing" sheetId="5" r:id="Re232c8baa7944c8d"/>
    <x:sheet xmlns:r="http://schemas.openxmlformats.org/officeDocument/2006/relationships" name="Sources" sheetId="6" r:id="Rf45c07a3ddda49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%"/>
    <x:numFmt numFmtId="201" formatCode="0"/>
    <x:numFmt numFmtId="202" formatCode="$0.0000"/>
    <x:numFmt numFmtId="203" formatCode="$0.00"/>
    <x:numFmt numFmtId="204" formatCode="#,##0.00;[Red](#,##0.00);-"/>
    <x:numFmt numFmtId="205" formatCode="$#,##0.00;[Red]($#,##0.00);-"/>
    <x:numFmt numFmtId="206" formatCode="0.0%"/>
    <x:numFmt numFmtId="207" formatCode="#,##0"/>
    <x:numFmt numFmtId="208" formatCode="$#,##0.00"/>
    <x:numFmt numFmtId="209" formatCode="#,##0.0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5223B"/>
      <x:name val="Carlito"/>
    </x:font>
    <x:font>
      <x:b/>
      <x:sz val="10"/>
      <x:color rgb="FFFFFFFF"/>
      <x:name val="Carlito"/>
    </x:font>
    <x:font>
      <x:b/>
      <x:sz val="11"/>
      <x:color rgb="FF3448D8"/>
      <x:name val="Carlito"/>
    </x:font>
    <x:font>
      <x:b/>
      <x:sz val="11"/>
      <x:color rgb="FF15223B"/>
      <x:name val="Carlito"/>
    </x:font>
    <x:font>
      <x:sz val="9"/>
      <x:color rgb="FF667085"/>
      <x:name val="Carlito"/>
    </x:font>
    <x:font>
      <x:b/>
      <x:sz val="11"/>
      <x:color rgb="FF0F766E"/>
      <x:name val="Carlito"/>
    </x:font>
    <x:font>
      <x:sz val="9"/>
      <x:color rgb="FF182230"/>
      <x:name val="Carlito"/>
    </x:font>
    <x:font>
      <x:sz val="9"/>
      <x:color rgb="FF3448D8"/>
      <x:name val="Carlito"/>
    </x:font>
    <x:font>
      <x:b/>
      <x:sz val="12"/>
      <x:color rgb="FF0F766E"/>
      <x:name val="Carlito"/>
    </x:font>
    <x:font>
      <x:sz val="10"/>
      <x:color rgb="FF182230"/>
      <x:name val="Carlito"/>
    </x:font>
    <x:font>
      <x:sz val="10"/>
      <x:color rgb="FF1522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223B"/>
      </x:patternFill>
    </x:fill>
    <x:fill>
      <x:patternFill patternType="solid">
        <x:fgColor rgb="FFEAEFFF"/>
      </x:patternFill>
    </x:fill>
    <x:fill>
      <x:patternFill patternType="solid">
        <x:fgColor rgb="FF3448D8"/>
      </x:patternFill>
    </x:fill>
    <x:fill>
      <x:patternFill patternType="solid">
        <x:fgColor rgb="FFF4F7FF"/>
      </x:patternFill>
    </x:fill>
    <x:fill>
      <x:patternFill patternType="solid">
        <x:fgColor rgb="FFE6F6F2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1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0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2" fontId="4" fillId="5" borderId="0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203" fontId="4" fillId="5" borderId="0" xfId="0" applyNumberFormat="1" applyFont="1" applyFill="1" applyBorder="1" applyAlignment="1">
      <x:alignment vertical="center" wrapText="1"/>
    </x:xf>
    <x:xf numFmtId="203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04" fontId="0" fillId="6" borderId="0" xfId="0" applyNumberFormat="1" applyFont="1" applyFill="1" applyBorder="1"/>
    <x:xf numFmtId="205" fontId="0" fillId="6" borderId="0" xfId="0" applyNumberFormat="1" applyFont="1" applyFill="1" applyBorder="1"/>
    <x:xf numFmtId="206" fontId="0" fillId="6" borderId="0" xfId="0" applyNumberFormat="1" applyFont="1" applyFill="1" applyBorder="1"/>
    <x:xf numFmtId="204" fontId="0" fillId="6" borderId="1" xfId="0" applyNumberFormat="1" applyFont="1" applyFill="1" applyBorder="1"/>
    <x:xf numFmtId="205" fontId="0" fillId="6" borderId="1" xfId="0" applyNumberFormat="1" applyFont="1" applyFill="1" applyBorder="1"/>
    <x:xf numFmtId="206" fontId="0" fillId="6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0" fontId="4" fillId="5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right"/>
    </x:xf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horizontal="right"/>
    </x:xf>
    <x:xf numFmtId="206" fontId="10" fillId="6" borderId="0" xfId="0" applyNumberFormat="1" applyFont="1" applyFill="1" applyBorder="1" applyAlignment="1">
      <x:alignment horizontal="right"/>
    </x:xf>
    <x:xf numFmtId="206" fontId="10" fillId="6" borderId="1" xfId="0" applyNumberFormat="1" applyFont="1" applyFill="1" applyBorder="1" applyAlignment="1">
      <x:alignment horizontal="right"/>
    </x:xf>
    <x:xf numFmtId="208" fontId="10" fillId="6" borderId="0" xfId="0" applyNumberFormat="1" applyFont="1" applyFill="1" applyBorder="1" applyAlignment="1">
      <x:alignment horizontal="right"/>
    </x:xf>
    <x:xf numFmtId="208" fontId="10" fillId="6" borderId="1" xfId="0" applyNumberFormat="1" applyFont="1" applyFill="1" applyBorder="1" applyAlignment="1">
      <x:alignment horizontal="right"/>
    </x:xf>
    <x:xf numFmtId="207" fontId="10" fillId="6" borderId="0" xfId="0" applyNumberFormat="1" applyFont="1" applyFill="1" applyBorder="1" applyAlignment="1">
      <x:alignment horizontal="right"/>
    </x:xf>
    <x:xf numFmtId="207" fontId="10" fillId="6" borderId="1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wrapText="1"/>
    </x:xf>
    <x:xf numFmtId="0" fontId="11" fillId="7" borderId="1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center" wrapText="1"/>
    </x:xf>
    <x:xf numFmtId="0" fontId="12" fillId="3" borderId="1" xfId="0" applyNumberFormat="1" applyFont="1" applyFill="1" applyBorder="1"/>
    <x:xf numFmtId="0" fontId="12" fillId="3" borderId="1" xfId="0" applyNumberFormat="1" applyFont="1" applyFill="1" applyBorder="1" applyAlignment="1">
      <x:alignment wrapText="1"/>
    </x:xf>
    <x:xf numFmtId="0" fontId="1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9" fontId="4" fillId="5" borderId="0" xfId="0" applyNumberFormat="1" applyFont="1" applyFill="1" applyBorder="1" applyAlignment="1">
      <x:alignment vertical="center" wrapText="1"/>
    </x:xf>
    <x:xf numFmtId="209" fontId="4" fillId="5" borderId="1" xfId="0" applyNumberFormat="1" applyFont="1" applyFill="1" applyBorder="1" applyAlignment="1">
      <x:alignment vertical="center" wrapText="1"/>
    </x:xf>
    <x:xf numFmtId="207" fontId="4" fillId="5" borderId="0" xfId="0" applyNumberFormat="1" applyFont="1" applyFill="1" applyBorder="1" applyAlignment="1">
      <x:alignment vertical="center" wrapText="1"/>
    </x:xf>
    <x:xf numFmtId="207" fontId="4" fillId="5" borderId="1" xfId="0" applyNumberFormat="1" applyFont="1" applyFill="1" applyBorder="1" applyAlignment="1">
      <x:alignment vertical="center" wrapText="1"/>
    </x:xf>
    <x:xf numFmtId="207" fontId="0" fillId="6" borderId="0" xfId="0" applyNumberFormat="1" applyFont="1" applyFill="1" applyBorder="1"/>
    <x:xf numFmtId="207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207a9a4b54b4e" /><Relationship Type="http://schemas.openxmlformats.org/officeDocument/2006/relationships/theme" Target="/xl/theme/theme1.xml" Id="Rd33a26e6b6404b94" /><Relationship Type="http://schemas.openxmlformats.org/officeDocument/2006/relationships/sharedStrings" Target="/xl/sharedStrings.xml" Id="Rcea85b3b1fd44238" /><Relationship Type="http://schemas.openxmlformats.org/officeDocument/2006/relationships/worksheet" Target="/xl/worksheets/sheet1.xml" Id="R267e51c9a92b42cc" /><Relationship Type="http://schemas.openxmlformats.org/officeDocument/2006/relationships/worksheet" Target="/xl/worksheets/sheet2.xml" Id="R809f328096634b12" /><Relationship Type="http://schemas.openxmlformats.org/officeDocument/2006/relationships/worksheet" Target="/xl/worksheets/sheet3.xml" Id="R7997ac842cb94e45" /><Relationship Type="http://schemas.openxmlformats.org/officeDocument/2006/relationships/worksheet" Target="/xl/worksheets/sheet4.xml" Id="R48b4eff63b0b4b6b" /><Relationship Type="http://schemas.openxmlformats.org/officeDocument/2006/relationships/worksheet" Target="/xl/worksheets/sheet5.xml" Id="Re232c8baa7944c8d" /><Relationship Type="http://schemas.openxmlformats.org/officeDocument/2006/relationships/worksheet" Target="/xl/worksheets/sheet6.xml" Id="Rf45c07a3ddda49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23" hidden="0" customWidth="1"/>
    <x:col min="3" max="3" width="20" hidden="0" customWidth="1"/>
    <x:col min="4" max="4" width="70" hidden="0" customWidth="1"/>
  </x:cols>
  <x:sheetData>
    <x:row r="1" ht="32" customHeight="1">
      <x:c r="A1" s="4" t="str">
        <x:v>CHEERIO RESOLVE | ECONOMIC SNAPSHOT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1" t="str">
        <x:v>Assignment A planning model. Editable assumptions feed the formula-driven monthly model, sensitivity cases, and audit controls. All economics are illustrative.</x:v>
      </x:c>
      <x:c r="B2" s="11"/>
      <x:c r="C2" s="11"/>
      <x:c r="D2" s="11"/>
      <x:c r="E2" s="11"/>
      <x:c r="F2" s="11"/>
      <x:c r="G2" s="11"/>
      <x:c r="H2" s="11"/>
    </x:row>
    <x:row r="4" ht="30" customHeight="1">
      <x:c r="A4" s="20" t="str">
        <x:v>KPI</x:v>
      </x:c>
      <x:c r="B4" s="20" t="str">
        <x:v>Scenario result</x:v>
      </x:c>
      <x:c r="C4" s="20" t="str">
        <x:v>Unit</x:v>
      </x:c>
      <x:c r="D4" s="20" t="str">
        <x:v>Interpretation</x:v>
      </x:c>
    </x:row>
    <x:row r="5" ht="30" customHeight="1">
      <x:c r="A5" s="51" t="str">
        <x:v>Active businesses</x:v>
      </x:c>
      <x:c r="B5" s="96" t="n">
        <x:f>'Unit Economics'!D5</x:f>
        <x:v>5000</x:v>
      </x:c>
      <x:c r="C5" s="114" t="str">
        <x:v>businesses</x:v>
      </x:c>
      <x:c r="D5" s="61" t="str">
        <x:v>Assignment scenario input</x:v>
      </x:c>
    </x:row>
    <x:row r="6" ht="30" customHeight="1">
      <x:c r="A6" s="51" t="str">
        <x:v>Monthly support queries</x:v>
      </x:c>
      <x:c r="B6" s="96" t="n">
        <x:f>'Unit Economics'!D6</x:f>
        <x:v>10000</x:v>
      </x:c>
      <x:c r="C6" s="114" t="str">
        <x:v>queries</x:v>
      </x:c>
      <x:c r="D6" s="61" t="str">
        <x:v>Assumed query rate across the 5,000-business scenario</x:v>
      </x:c>
    </x:row>
    <x:row r="7" ht="30" customHeight="1">
      <x:c r="A7" s="51" t="str">
        <x:v>Eligible pilot issues</x:v>
      </x:c>
      <x:c r="B7" s="96" t="n">
        <x:f>'Unit Economics'!D7</x:f>
        <x:v>3500</x:v>
      </x:c>
      <x:c r="C7" s="114" t="str">
        <x:v>issues</x:v>
      </x:c>
      <x:c r="D7" s="61" t="str">
        <x:v>Template and campaign troubleshooting only</x:v>
      </x:c>
    </x:row>
    <x:row r="8" ht="30" customHeight="1">
      <x:c r="A8" s="51" t="str">
        <x:v>Target verified self-service resolutions</x:v>
      </x:c>
      <x:c r="B8" s="96" t="n">
        <x:f>'Unit Economics'!D8</x:f>
        <x:v>1400</x:v>
      </x:c>
      <x:c r="C8" s="114" t="str">
        <x:v>issues</x:v>
      </x:c>
      <x:c r="D8" s="61" t="str">
        <x:v>40% month-three target, not observed</x:v>
      </x:c>
    </x:row>
    <x:row r="9" ht="30" customHeight="1">
      <x:c r="A9" s="51" t="str">
        <x:v>Human handled issues avoided</x:v>
      </x:c>
      <x:c r="B9" s="96" t="n">
        <x:f>'Unit Economics'!D20</x:f>
        <x:v>1050</x:v>
      </x:c>
      <x:c r="C9" s="114" t="str">
        <x:v>issues</x:v>
      </x:c>
      <x:c r="D9" s="61" t="str">
        <x:v>Difference versus assumed current human-handled baseline</x:v>
      </x:c>
    </x:row>
    <x:row r="10" ht="30" customHeight="1">
      <x:c r="A10" s="51" t="str">
        <x:v>Net monthly support savings</x:v>
      </x:c>
      <x:c r="B10" s="94" t="n">
        <x:f>'Unit Economics'!D22</x:f>
        <x:v>3134.05</x:v>
      </x:c>
      <x:c r="C10" s="114" t="str">
        <x:v>USD</x:v>
      </x:c>
      <x:c r="D10" s="61" t="str">
        <x:v>Baseline human handling cost minus modeled Resolve operating cost</x:v>
      </x:c>
    </x:row>
    <x:row r="11" ht="30" customHeight="1">
      <x:c r="A11" s="51" t="str">
        <x:v>Illustrative add-on revenue</x:v>
      </x:c>
      <x:c r="B11" s="94" t="n">
        <x:f>'Unit Economics'!D24</x:f>
        <x:v>12000</x:v>
      </x:c>
      <x:c r="C11" s="114" t="str">
        <x:v>USD</x:v>
      </x:c>
      <x:c r="D11" s="61" t="str">
        <x:v>12 USD monthly price with 20% paid attach assumption</x:v>
      </x:c>
    </x:row>
    <x:row r="12" ht="30" customHeight="1">
      <x:c r="A12" s="51" t="str">
        <x:v>Modeled contribution margin</x:v>
      </x:c>
      <x:c r="B12" s="92" t="n">
        <x:f>'Unit Economics'!D26</x:f>
        <x:v>0.34242083333333334</x:v>
      </x:c>
      <x:c r="C12" s="114" t="str">
        <x:v>%</x:v>
      </x:c>
      <x:c r="D12" s="61" t="str">
        <x:v>Revenue less modeled cost; excludes acquisition and build cost</x:v>
      </x:c>
    </x:row>
    <x:row r="13" ht="30" customHeight="1">
      <x:c r="A13" s="51" t="str">
        <x:v>Adaptive token cost</x:v>
      </x:c>
      <x:c r="B13" s="94" t="n">
        <x:f>'Unit Economics'!D13</x:f>
        <x:v>5.95</x:v>
      </x:c>
      <x:c r="C13" s="114" t="str">
        <x:v>USD</x:v>
      </x:c>
      <x:c r="D13" s="61" t="str">
        <x:v>Model tokens are a small share of total cost in this scenario</x:v>
      </x:c>
    </x:row>
    <x:row r="16">
      <x:c r="A16" s="98" t="str">
        <x:v>HOW TO READ THIS MODEL</x:v>
      </x:c>
      <x:c r="B16" s="98"/>
      <x:c r="C16" s="98"/>
      <x:c r="D16" s="98"/>
      <x:c r="E16" s="98"/>
      <x:c r="F16" s="98"/>
      <x:c r="G16" s="98"/>
      <x:c r="H16" s="98"/>
    </x:row>
    <x:row r="17" ht="25" customHeight="1">
      <x:c r="A17" s="103" t="str">
        <x:v>The economics depend far more on verified self-service outcomes and human handling cost than token cost alone. The adaptive route sends only a share of eligible cases to the model; known states use rules and reviewed playbooks. The modeled add-on is a commercial hypothesis, not proof of willingness to pay. Replace assumptions with measured ticket and pilot data before a launch decision.</x:v>
      </x:c>
      <x:c r="B17" s="103"/>
      <x:c r="C17" s="103"/>
      <x:c r="D17" s="103"/>
      <x:c r="E17" s="103"/>
      <x:c r="F17" s="103"/>
      <x:c r="G17" s="103"/>
      <x:c r="H17" s="103"/>
    </x:row>
    <x:row r="18" ht="25" customHeight="1">
      <x:c r="A18" s="103"/>
      <x:c r="B18" s="103"/>
      <x:c r="C18" s="103"/>
      <x:c r="D18" s="103"/>
      <x:c r="E18" s="103"/>
      <x:c r="F18" s="103"/>
      <x:c r="G18" s="103"/>
      <x:c r="H18" s="103"/>
    </x:row>
    <x:row r="19" ht="25" customHeight="1">
      <x:c r="A19" s="103"/>
      <x:c r="B19" s="103"/>
      <x:c r="C19" s="103"/>
      <x:c r="D19" s="103"/>
      <x:c r="E19" s="103"/>
      <x:c r="F19" s="103"/>
      <x:c r="G19" s="103"/>
      <x:c r="H19" s="103"/>
    </x:row>
    <x:row r="21">
      <x:c r="A21" s="17" t="str">
        <x:v>RECOMMENDED COMMERCIAL TEST</x:v>
      </x:c>
      <x:c r="B21" s="17"/>
      <x:c r="C21" s="17"/>
      <x:c r="D21" s="17"/>
      <x:c r="E21" s="17"/>
      <x:c r="F21" s="17"/>
      <x:c r="G21" s="17"/>
      <x:c r="H21" s="17"/>
    </x:row>
    <x:row r="22" ht="24" customHeight="1">
      <x:c r="A22" s="110" t="str">
        <x:v>Keep rule-based troubleshooting predictable. Test an optional Resolve Plus add-on for enhanced resolution records, reviewed Fix Memory, and reporting. Proposed starting hypothesis: $12 per business per month with four included AI-assisted investigations. Do not bill per model call or apply overages without clear terms and explicit consent.</x:v>
      </x:c>
      <x:c r="B22" s="110"/>
      <x:c r="C22" s="110"/>
      <x:c r="D22" s="110"/>
      <x:c r="E22" s="110"/>
      <x:c r="F22" s="110"/>
      <x:c r="G22" s="110"/>
      <x:c r="H22" s="110"/>
    </x:row>
    <x:row r="23" ht="24" customHeight="1">
      <x:c r="A23" s="110"/>
      <x:c r="B23" s="110"/>
      <x:c r="C23" s="110"/>
      <x:c r="D23" s="110"/>
      <x:c r="E23" s="110"/>
      <x:c r="F23" s="110"/>
      <x:c r="G23" s="110"/>
      <x:c r="H23" s="110"/>
    </x:row>
    <x:row r="24" ht="24" customHeight="1">
      <x:c r="A24" s="110"/>
      <x:c r="B24" s="110"/>
      <x:c r="C24" s="110"/>
      <x:c r="D24" s="110"/>
      <x:c r="E24" s="110"/>
      <x:c r="F24" s="110"/>
      <x:c r="G24" s="110"/>
      <x:c r="H24" s="110"/>
    </x:row>
  </x:sheetData>
  <x:mergeCells>
    <x:mergeCell ref="A1:H1"/>
    <x:mergeCell ref="A2:H2"/>
    <x:mergeCell ref="A16:H16"/>
    <x:mergeCell ref="A17:H19"/>
    <x:mergeCell ref="A21:H21"/>
    <x:mergeCell ref="A22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6" hidden="0" customWidth="1"/>
    <x:col min="4" max="4" width="68" hidden="0" customWidth="1"/>
  </x:cols>
  <x:sheetData>
    <x:row r="1" ht="32" customHeight="1">
      <x:c r="A1" s="4" t="str">
        <x:v>CHEERIO RESOLVE | EDITABLE ASSUMPTIONS</x:v>
      </x:c>
      <x:c r="B1" s="4"/>
      <x:c r="C1" s="4"/>
      <x:c r="D1" s="4"/>
    </x:row>
    <x:row r="2" ht="28" customHeight="1">
      <x:c r="A2" s="11" t="str">
        <x:v>Blue values are assumptions or editable inputs. Formula outputs are in Unit Economics and Sensitivity. USD throughout; figures are illustrative, not Cheerio actuals.</x:v>
      </x:c>
      <x:c r="B2" s="11"/>
      <x:c r="C2" s="11"/>
      <x:c r="D2" s="11"/>
    </x:row>
    <x:row r="4" ht="30" customHeight="1">
      <x:c r="A4" s="20" t="str">
        <x:v>Input</x:v>
      </x:c>
      <x:c r="B4" s="20" t="str">
        <x:v>Value</x:v>
      </x:c>
      <x:c r="C4" s="20" t="str">
        <x:v>Unit</x:v>
      </x:c>
      <x:c r="D4" s="20" t="str">
        <x:v>Classification and rationale</x:v>
      </x:c>
    </x:row>
    <x:row r="5" ht="30" customHeight="1">
      <x:c r="A5" s="38" t="str">
        <x:v>Active businesses in scenario</x:v>
      </x:c>
      <x:c r="B5" s="117" t="n">
        <x:v>5000</x:v>
      </x:c>
      <x:c r="C5" s="40" t="str">
        <x:v>businesses</x:v>
      </x:c>
      <x:c r="D5" s="40" t="str">
        <x:v>Assignment input. Not a claim about Cheerio's actual customer count.</x:v>
      </x:c>
    </x:row>
    <x:row r="6" ht="30" customHeight="1">
      <x:c r="A6" s="38" t="str">
        <x:v>Support queries per business per month</x:v>
      </x:c>
      <x:c r="B6" s="115" t="n">
        <x:v>2</x:v>
      </x:c>
      <x:c r="C6" s="40" t="str">
        <x:v>queries / business / month</x:v>
      </x:c>
      <x:c r="D6" s="40" t="str">
        <x:v>Assumption. Replace with internal ticket data if available.</x:v>
      </x:c>
    </x:row>
    <x:row r="7" ht="30" customHeight="1">
      <x:c r="A7" s="38" t="str">
        <x:v>Share in initial pilot scope</x:v>
      </x:c>
      <x:c r="B7" s="42" t="n">
        <x:v>0.35</x:v>
      </x:c>
      <x:c r="C7" s="40" t="str">
        <x:v>% of all queries</x:v>
      </x:c>
      <x:c r="D7" s="40" t="str">
        <x:v>Assumption. Template and campaign troubleshooting only.</x:v>
      </x:c>
    </x:row>
    <x:row r="8" ht="30" customHeight="1">
      <x:c r="A8" s="38" t="str">
        <x:v>Current share of eligible issues handled by humans</x:v>
      </x:c>
      <x:c r="B8" s="42" t="n">
        <x:v>0.9</x:v>
      </x:c>
      <x:c r="C8" s="40" t="str">
        <x:v>% of eligible issues</x:v>
      </x:c>
      <x:c r="D8" s="40" t="str">
        <x:v>Assumption for baseline comparison; current self-service share is therefore 10%.</x:v>
      </x:c>
    </x:row>
    <x:row r="9" ht="30" customHeight="1">
      <x:c r="A9" s="38" t="str">
        <x:v>Resolve month-three verified self-service target</x:v>
      </x:c>
      <x:c r="B9" s="42" t="n">
        <x:v>0.4</x:v>
      </x:c>
      <x:c r="C9" s="40" t="str">
        <x:v>% of eligible issues</x:v>
      </x:c>
      <x:c r="D9" s="40" t="str">
        <x:v>Proposed target, not measured performance.</x:v>
      </x:c>
    </x:row>
    <x:row r="10" ht="30" customHeight="1">
      <x:c r="A10" s="38" t="str">
        <x:v>Loaded cost per human-handled query</x:v>
      </x:c>
      <x:c r="B10" s="48" t="n">
        <x:v>3.5</x:v>
      </x:c>
      <x:c r="C10" s="40" t="str">
        <x:v>USD / query</x:v>
      </x:c>
      <x:c r="D10" s="40" t="str">
        <x:v>Assumption including loaded support time and tooling.</x:v>
      </x:c>
    </x:row>
    <x:row r="11" ht="30" customHeight="1">
      <x:c r="A11" s="38" t="str">
        <x:v>Adaptive route share receiving model assistance</x:v>
      </x:c>
      <x:c r="B11" s="42" t="n">
        <x:v>0.4</x:v>
      </x:c>
      <x:c r="C11" s="40" t="str">
        <x:v>% of eligible issues</x:v>
      </x:c>
      <x:c r="D11" s="40" t="str">
        <x:v>Assumption. Other cases use deterministic checks, maintained playbooks or human escalation.</x:v>
      </x:c>
    </x:row>
    <x:row r="12" ht="30" customHeight="1">
      <x:c r="A12" s="38" t="str">
        <x:v>Input tokens per model-assisted case</x:v>
      </x:c>
      <x:c r="B12" s="117" t="n">
        <x:v>8000</x:v>
      </x:c>
      <x:c r="C12" s="40" t="str">
        <x:v>tokens / case</x:v>
      </x:c>
      <x:c r="D12" s="40" t="str">
        <x:v>Assumption for context and diagnostic evidence.</x:v>
      </x:c>
    </x:row>
    <x:row r="13" ht="30" customHeight="1">
      <x:c r="A13" s="38" t="str">
        <x:v>Output tokens per model-assisted case</x:v>
      </x:c>
      <x:c r="B13" s="117" t="n">
        <x:v>1500</x:v>
      </x:c>
      <x:c r="C13" s="40" t="str">
        <x:v>tokens / case</x:v>
      </x:c>
      <x:c r="D13" s="40" t="str">
        <x:v>Assumption for explanation and next-step guidance.</x:v>
      </x:c>
    </x:row>
    <x:row r="14" ht="30" customHeight="1">
      <x:c r="A14" s="38" t="str">
        <x:v>Gemini 3.1 Flash-Lite paid input price</x:v>
      </x:c>
      <x:c r="B14" s="48" t="n">
        <x:v>0.25</x:v>
      </x:c>
      <x:c r="C14" s="40" t="str">
        <x:v>USD / 1M input tokens</x:v>
      </x:c>
      <x:c r="D14" s="40" t="str">
        <x:v>Official paid-tier standard text price; source and check date on Sources sheet.</x:v>
      </x:c>
    </x:row>
    <x:row r="15" ht="30" customHeight="1">
      <x:c r="A15" s="38" t="str">
        <x:v>Gemini 3.1 Flash-Lite paid output price</x:v>
      </x:c>
      <x:c r="B15" s="48" t="n">
        <x:v>1.5</x:v>
      </x:c>
      <x:c r="C15" s="40" t="str">
        <x:v>USD / 1M output tokens</x:v>
      </x:c>
      <x:c r="D15" s="40" t="str">
        <x:v>Official paid-tier standard text price; source and check date on Sources sheet.</x:v>
      </x:c>
    </x:row>
    <x:row r="16" ht="30" customHeight="1">
      <x:c r="A16" s="38" t="str">
        <x:v>Other variable operating cost per eligible issue</x:v>
      </x:c>
      <x:c r="B16" s="48" t="n">
        <x:v>0.01</x:v>
      </x:c>
      <x:c r="C16" s="40" t="str">
        <x:v>USD / issue</x:v>
      </x:c>
      <x:c r="D16" s="40" t="str">
        <x:v>Assumption for logging, storage and tooling beyond token cost.</x:v>
      </x:c>
    </x:row>
    <x:row r="17" ht="30" customHeight="1">
      <x:c r="A17" s="38" t="str">
        <x:v>Monthly infrastructure and logging allocation</x:v>
      </x:c>
      <x:c r="B17" s="48" t="n">
        <x:v>150</x:v>
      </x:c>
      <x:c r="C17" s="40" t="str">
        <x:v>USD / month</x:v>
      </x:c>
      <x:c r="D17" s="40" t="str">
        <x:v>Assumption.</x:v>
      </x:c>
    </x:row>
    <x:row r="18" ht="30" customHeight="1">
      <x:c r="A18" s="38" t="str">
        <x:v>Monthly QA and audit allocation</x:v>
      </x:c>
      <x:c r="B18" s="48" t="n">
        <x:v>100</x:v>
      </x:c>
      <x:c r="C18" s="40" t="str">
        <x:v>USD / month</x:v>
      </x:c>
      <x:c r="D18" s="40" t="str">
        <x:v>Assumption.</x:v>
      </x:c>
    </x:row>
    <x:row r="19" ht="30" customHeight="1">
      <x:c r="A19" s="38" t="str">
        <x:v>Monthly support and product overhead allocation</x:v>
      </x:c>
      <x:c r="B19" s="48" t="n">
        <x:v>250</x:v>
      </x:c>
      <x:c r="C19" s="40" t="str">
        <x:v>USD / month</x:v>
      </x:c>
      <x:c r="D19" s="40" t="str">
        <x:v>Assumption. Excludes initial engineering build and customer acquisition.</x:v>
      </x:c>
    </x:row>
    <x:row r="20" ht="30" customHeight="1">
      <x:c r="A20" s="38" t="str">
        <x:v>Resolve Plus add-on price</x:v>
      </x:c>
      <x:c r="B20" s="48" t="n">
        <x:v>12</x:v>
      </x:c>
      <x:c r="C20" s="40" t="str">
        <x:v>USD / paid business / month</x:v>
      </x:c>
      <x:c r="D20" s="40" t="str">
        <x:v>Pricing hypothesis, not validated willingness to pay.</x:v>
      </x:c>
    </x:row>
    <x:row r="21" ht="30" customHeight="1">
      <x:c r="A21" s="38" t="str">
        <x:v>Paid attach rate</x:v>
      </x:c>
      <x:c r="B21" s="42" t="n">
        <x:v>0.2</x:v>
      </x:c>
      <x:c r="C21" s="40" t="str">
        <x:v>% of active businesses</x:v>
      </x:c>
      <x:c r="D21" s="40" t="str">
        <x:v>Assumption for commercial scenario.</x:v>
      </x:c>
    </x:row>
    <x:row r="22" ht="30" customHeight="1">
      <x:c r="A22" s="38" t="str">
        <x:v>Included AI-assisted investigations</x:v>
      </x:c>
      <x:c r="B22" s="117" t="n">
        <x:v>4</x:v>
      </x:c>
      <x:c r="C22" s="40" t="str">
        <x:v>cases / paid business / month</x:v>
      </x:c>
      <x:c r="D22" s="40" t="str">
        <x:v>Proposed allowance; test with usage data before setting a real plan.</x:v>
      </x:c>
    </x:row>
    <x:row r="23" ht="30" customHeight="1">
      <x:c r="A23" s="38" t="str">
        <x:v>Usage reconciliation variance alert</x:v>
      </x:c>
      <x:c r="B23" s="42" t="n">
        <x:v>0.02</x:v>
      </x:c>
      <x:c r="C23" s="40" t="str">
        <x:v>% variance</x:v>
      </x:c>
      <x:c r="D23" s="40" t="str">
        <x:v>Proposed alert threshold.</x:v>
      </x:c>
    </x:row>
    <x:row r="24" ht="30" customHeight="1">
      <x:c r="A24" s="38" t="str">
        <x:v>Cost per resolution overrun alert</x:v>
      </x:c>
      <x:c r="B24" s="42" t="n">
        <x:v>0.2</x:v>
      </x:c>
      <x:c r="C24" s="40" t="str">
        <x:v>% over target</x:v>
      </x:c>
      <x:c r="D24" s="40" t="str">
        <x:v>Proposed alert if exceeded for two consecutive weeks.</x:v>
      </x:c>
    </x:row>
    <x:row r="25" ht="30" customHeight="1">
      <x:c r="A25" s="38" t="str">
        <x:v>False-resolution sample threshold</x:v>
      </x:c>
      <x:c r="B25" s="42" t="n">
        <x:v>0.05</x:v>
      </x:c>
      <x:c r="C25" s="40" t="str">
        <x:v>% of audited cases</x:v>
      </x:c>
      <x:c r="D25" s="40" t="str">
        <x:v>Proposed stop-and-review threshold.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9" hidden="0" customWidth="1"/>
    <x:col min="3" max="3" width="19" hidden="0" customWidth="1"/>
    <x:col min="4" max="4" width="19" hidden="0" customWidth="1"/>
    <x:col min="5" max="5" width="62" hidden="0" customWidth="1"/>
  </x:cols>
  <x:sheetData>
    <x:row r="1" ht="32" customHeight="1">
      <x:c r="A1" s="4" t="str">
        <x:v>MONTHLY SUPPORT ECONOMICS</x:v>
      </x:c>
      <x:c r="B1" s="4"/>
      <x:c r="C1" s="4"/>
      <x:c r="D1" s="4"/>
      <x:c r="E1" s="4"/>
    </x:row>
    <x:row r="2" ht="28" customHeight="1">
      <x:c r="A2" s="11" t="str">
        <x:v>Formula-driven comparison. Baseline assumes 90% of eligible cases currently reach human support. LLM-first and adaptive Resolve use the same 40% resolution target so costs can be compared without inventing better outcomes for one route.</x:v>
      </x:c>
      <x:c r="B2" s="11"/>
      <x:c r="C2" s="11"/>
      <x:c r="D2" s="11"/>
      <x:c r="E2" s="11"/>
    </x:row>
    <x:row r="4" ht="30" customHeight="1">
      <x:c r="A4" s="20" t="str">
        <x:v>Metric</x:v>
      </x:c>
      <x:c r="B4" s="20" t="str">
        <x:v>Baseline</x:v>
      </x:c>
      <x:c r="C4" s="20" t="str">
        <x:v>LLM-first</x:v>
      </x:c>
      <x:c r="D4" s="20" t="str">
        <x:v>Resolve adaptive</x:v>
      </x:c>
      <x:c r="E4" s="20" t="str">
        <x:v>How to read it</x:v>
      </x:c>
    </x:row>
    <x:row r="5" ht="25" customHeight="1">
      <x:c r="A5" s="38" t="str">
        <x:v>Active businesses</x:v>
      </x:c>
      <x:c r="B5" s="72" t="n">
        <x:f>Assumptions!B5</x:f>
        <x:v>5000</x:v>
      </x:c>
      <x:c r="C5" s="72" t="n">
        <x:f>Assumptions!B5</x:f>
        <x:v>5000</x:v>
      </x:c>
      <x:c r="D5" s="119" t="n">
        <x:f>Assumptions!B5</x:f>
        <x:v>5000</x:v>
      </x:c>
      <x:c r="E5" s="61" t="str">
        <x:v>Assignment scenario</x:v>
      </x:c>
    </x:row>
    <x:row r="6" ht="25" customHeight="1">
      <x:c r="A6" s="38" t="str">
        <x:v>All monthly support queries</x:v>
      </x:c>
      <x:c r="B6" s="72" t="n">
        <x:f>Assumptions!B5*Assumptions!B6</x:f>
        <x:v>10000</x:v>
      </x:c>
      <x:c r="C6" s="72" t="n">
        <x:f>B6</x:f>
        <x:v>10000</x:v>
      </x:c>
      <x:c r="D6" s="119" t="n">
        <x:f>B6</x:f>
        <x:v>10000</x:v>
      </x:c>
      <x:c r="E6" s="61" t="str">
        <x:v>5,000 businesses multiplied by assumed queries per business</x:v>
      </x:c>
    </x:row>
    <x:row r="7" ht="25" customHeight="1">
      <x:c r="A7" s="38" t="str">
        <x:v>Eligible issues in pilot scope</x:v>
      </x:c>
      <x:c r="B7" s="72" t="n">
        <x:f>B6*Assumptions!B7</x:f>
        <x:v>3500</x:v>
      </x:c>
      <x:c r="C7" s="72" t="n">
        <x:f>B7</x:f>
        <x:v>3500</x:v>
      </x:c>
      <x:c r="D7" s="119" t="n">
        <x:f>B7</x:f>
        <x:v>3500</x:v>
      </x:c>
      <x:c r="E7" s="61" t="str">
        <x:v>Only template and campaign troubleshooting</x:v>
      </x:c>
    </x:row>
    <x:row r="8" ht="25" customHeight="1">
      <x:c r="A8" s="38" t="str">
        <x:v>Baseline non-human proxy / target verified resolutions</x:v>
      </x:c>
      <x:c r="B8" s="72" t="n">
        <x:f>B7*(1-Assumptions!B8)</x:f>
        <x:v>349.99999999999994</x:v>
      </x:c>
      <x:c r="C8" s="72" t="n">
        <x:f>B7*Assumptions!B9</x:f>
        <x:v>1400</x:v>
      </x:c>
      <x:c r="D8" s="119" t="n">
        <x:f>B7*Assumptions!B9</x:f>
        <x:v>1400</x:v>
      </x:c>
      <x:c r="E8" s="61" t="str">
        <x:v>Baseline count is an assumed non-human-handled proxy, not verified outcome data. Resolve columns use the proposed month-three verified resolution target.</x:v>
      </x:c>
    </x:row>
    <x:row r="9" ht="25" customHeight="1">
      <x:c r="A9" s="38" t="str">
        <x:v>Human-handled eligible issues</x:v>
      </x:c>
      <x:c r="B9" s="72" t="n">
        <x:f>B7*Assumptions!B8</x:f>
        <x:v>3150</x:v>
      </x:c>
      <x:c r="C9" s="72" t="n">
        <x:f>B7-C8</x:f>
        <x:v>2100</x:v>
      </x:c>
      <x:c r="D9" s="119" t="n">
        <x:f>B7-D8</x:f>
        <x:v>2100</x:v>
      </x:c>
      <x:c r="E9" s="61" t="str">
        <x:v>All eligible cases not resolved through verified self-service are routed to people</x:v>
      </x:c>
    </x:row>
    <x:row r="10" ht="25" customHeight="1">
      <x:c r="A10" s="38" t="str">
        <x:v>Model-assisted issues</x:v>
      </x:c>
      <x:c r="B10" s="72" t="n">
        <x:f>0</x:f>
        <x:v>0</x:v>
      </x:c>
      <x:c r="C10" s="72" t="n">
        <x:f>B7</x:f>
        <x:v>3500</x:v>
      </x:c>
      <x:c r="D10" s="119" t="n">
        <x:f>B7*Assumptions!B11</x:f>
        <x:v>1400</x:v>
      </x:c>
      <x:c r="E10" s="61" t="str">
        <x:v>Baseline: none; LLM-first: all eligible; adaptive: assumed share only</x:v>
      </x:c>
    </x:row>
    <x:row r="11" ht="25" customHeight="1">
      <x:c r="A11" s="38" t="str">
        <x:v>Input tokens</x:v>
      </x:c>
      <x:c r="B11" s="72" t="n">
        <x:f>B10*Assumptions!B12</x:f>
        <x:v>0</x:v>
      </x:c>
      <x:c r="C11" s="72" t="n">
        <x:f>C10*Assumptions!B12</x:f>
        <x:v>28000000</x:v>
      </x:c>
      <x:c r="D11" s="119" t="n">
        <x:f>D10*Assumptions!B12</x:f>
        <x:v>11200000</x:v>
      </x:c>
      <x:c r="E11" s="61" t="str">
        <x:v>Cases sent to model multiplied by input tokens per case</x:v>
      </x:c>
    </x:row>
    <x:row r="12" ht="25" customHeight="1">
      <x:c r="A12" s="38" t="str">
        <x:v>Output tokens</x:v>
      </x:c>
      <x:c r="B12" s="72" t="n">
        <x:f>B10*Assumptions!B13</x:f>
        <x:v>0</x:v>
      </x:c>
      <x:c r="C12" s="72" t="n">
        <x:f>C10*Assumptions!B13</x:f>
        <x:v>5250000</x:v>
      </x:c>
      <x:c r="D12" s="119" t="n">
        <x:f>D10*Assumptions!B13</x:f>
        <x:v>2100000</x:v>
      </x:c>
      <x:c r="E12" s="61" t="str">
        <x:v>Cases sent to model multiplied by output tokens per case</x:v>
      </x:c>
    </x:row>
    <x:row r="13" ht="25" customHeight="1">
      <x:c r="A13" s="38" t="str">
        <x:v>Token cost (USD)</x:v>
      </x:c>
      <x:c r="B13" s="56" t="n">
        <x:f>B11/1000000*Assumptions!B14+B12/1000000*Assumptions!B15</x:f>
        <x:v>0</x:v>
      </x:c>
      <x:c r="C13" s="56" t="n">
        <x:f>C11/1000000*Assumptions!B14+C12/1000000*Assumptions!B15</x:f>
        <x:v>14.875</x:v>
      </x:c>
      <x:c r="D13" s="65" t="n">
        <x:f>D11/1000000*Assumptions!B14+D12/1000000*Assumptions!B15</x:f>
        <x:v>5.95</x:v>
      </x:c>
      <x:c r="E13" s="61" t="str">
        <x:v>Official paid-tier prices from Google Gemini API pricing page</x:v>
      </x:c>
    </x:row>
    <x:row r="14" ht="25" customHeight="1">
      <x:c r="A14" s="38" t="str">
        <x:v>Other variable costs (USD)</x:v>
      </x:c>
      <x:c r="B14" s="56" t="n">
        <x:f>0</x:f>
        <x:v>0</x:v>
      </x:c>
      <x:c r="C14" s="56" t="n">
        <x:f>C7*Assumptions!B16</x:f>
        <x:v>35</x:v>
      </x:c>
      <x:c r="D14" s="65" t="n">
        <x:f>D7*Assumptions!B16</x:f>
        <x:v>35</x:v>
      </x:c>
      <x:c r="E14" s="61" t="str">
        <x:v>Logging, storage and tooling allowance per eligible issue</x:v>
      </x:c>
    </x:row>
    <x:row r="15" ht="25" customHeight="1">
      <x:c r="A15" s="38" t="str">
        <x:v>Human support handling cost (USD)</x:v>
      </x:c>
      <x:c r="B15" s="56" t="n">
        <x:f>B9*Assumptions!B10</x:f>
        <x:v>11025</x:v>
      </x:c>
      <x:c r="C15" s="56" t="n">
        <x:f>C9*Assumptions!B10</x:f>
        <x:v>7350</x:v>
      </x:c>
      <x:c r="D15" s="65" t="n">
        <x:f>D9*Assumptions!B10</x:f>
        <x:v>7350</x:v>
      </x:c>
      <x:c r="E15" s="61" t="str">
        <x:v>Human-handled eligible issues multiplied by loaded cost per query</x:v>
      </x:c>
    </x:row>
    <x:row r="16" ht="25" customHeight="1">
      <x:c r="A16" s="38" t="str">
        <x:v>Fixed infrastructure, QA and overhead (USD)</x:v>
      </x:c>
      <x:c r="B16" s="56" t="n">
        <x:f>0</x:f>
        <x:v>0</x:v>
      </x:c>
      <x:c r="C16" s="56" t="n">
        <x:f>Assumptions!B17+Assumptions!B18+Assumptions!B19</x:f>
        <x:v>500</x:v>
      </x:c>
      <x:c r="D16" s="65" t="n">
        <x:f>Assumptions!B17+Assumptions!B18+Assumptions!B19</x:f>
        <x:v>500</x:v>
      </x:c>
      <x:c r="E16" s="61" t="str">
        <x:v>Assumed monthly allocations; baseline excludes Resolve-specific overhead</x:v>
      </x:c>
    </x:row>
    <x:row r="17" ht="25" customHeight="1">
      <x:c r="A17" s="38" t="str">
        <x:v>Total modeled monthly operating cost (USD)</x:v>
      </x:c>
      <x:c r="B17" s="56" t="n">
        <x:f>SUM(B13:B16)</x:f>
        <x:v>11025</x:v>
      </x:c>
      <x:c r="C17" s="56" t="n">
        <x:f>SUM(C13:C16)</x:f>
        <x:v>7899.875</x:v>
      </x:c>
      <x:c r="D17" s="65" t="n">
        <x:f>SUM(D13:D16)</x:f>
        <x:v>7890.95</x:v>
      </x:c>
      <x:c r="E17" s="61" t="str">
        <x:v>Token + other variable + human support + fixed allocations</x:v>
      </x:c>
    </x:row>
    <x:row r="18" ht="25" customHeight="1">
      <x:c r="A18" s="38" t="str">
        <x:v>Cost per eligible issue (USD)</x:v>
      </x:c>
      <x:c r="B18" s="56" t="n">
        <x:f>IFERROR(B17/B7,0)</x:f>
        <x:v>3.15</x:v>
      </x:c>
      <x:c r="C18" s="56" t="n">
        <x:f>IFERROR(C17/C7,0)</x:f>
        <x:v>2.257107142857143</x:v>
      </x:c>
      <x:c r="D18" s="65" t="n">
        <x:f>IFERROR(D17/D7,0)</x:f>
        <x:v>2.2545571428571427</x:v>
      </x:c>
      <x:c r="E18" s="61" t="str">
        <x:v>Total operating cost divided by eligible issue volume</x:v>
      </x:c>
    </x:row>
    <x:row r="19" ht="25" customHeight="1">
      <x:c r="A19" s="38" t="str">
        <x:v>Cost per verified self-service resolution (USD)</x:v>
      </x:c>
      <x:c r="B19" s="56" t="n">
        <x:f>0</x:f>
        <x:v>0</x:v>
      </x:c>
      <x:c r="C19" s="56" t="n">
        <x:f>IFERROR(C17/C8,0)</x:f>
        <x:v>5.642767857142857</x:v>
      </x:c>
      <x:c r="D19" s="65" t="n">
        <x:f>IFERROR(D17/D8,0)</x:f>
        <x:v>5.636392857142857</x:v>
      </x:c>
      <x:c r="E19" s="61" t="str">
        <x:v>Baseline cost per verified resolution is not comparable because its baseline proxy is not verified. Resolve routes use total modeled cost divided by the target verified outcomes.</x:v>
      </x:c>
    </x:row>
    <x:row r="20" ht="25" customHeight="1">
      <x:c r="A20" s="38" t="str">
        <x:v>Reduction in human-handled issues vs baseline</x:v>
      </x:c>
      <x:c r="B20" s="72" t="n">
        <x:f>0</x:f>
        <x:v>0</x:v>
      </x:c>
      <x:c r="C20" s="72" t="n">
        <x:f>B9-C9</x:f>
        <x:v>1050</x:v>
      </x:c>
      <x:c r="D20" s="119" t="n">
        <x:f>B9-D9</x:f>
        <x:v>1050</x:v>
      </x:c>
      <x:c r="E20" s="61" t="str">
        <x:v>Baseline human issues minus route human issues</x:v>
      </x:c>
    </x:row>
    <x:row r="21" ht="25" customHeight="1">
      <x:c r="A21" s="38" t="str">
        <x:v>Human support cost avoided vs baseline (USD)</x:v>
      </x:c>
      <x:c r="B21" s="56" t="n">
        <x:f>0</x:f>
        <x:v>0</x:v>
      </x:c>
      <x:c r="C21" s="56" t="n">
        <x:f>B15-C15</x:f>
        <x:v>3675</x:v>
      </x:c>
      <x:c r="D21" s="65" t="n">
        <x:f>B15-D15</x:f>
        <x:v>3675</x:v>
      </x:c>
      <x:c r="E21" s="61" t="str">
        <x:v>Baseline human handling cost minus route human handling cost</x:v>
      </x:c>
    </x:row>
    <x:row r="22" ht="25" customHeight="1">
      <x:c r="A22" s="38" t="str">
        <x:v>Net support savings vs baseline (USD)</x:v>
      </x:c>
      <x:c r="B22" s="56" t="n">
        <x:f>0</x:f>
        <x:v>0</x:v>
      </x:c>
      <x:c r="C22" s="56" t="n">
        <x:f>B15-C17</x:f>
        <x:v>3125.125</x:v>
      </x:c>
      <x:c r="D22" s="65" t="n">
        <x:f>B15-D17</x:f>
        <x:v>3134.05</x:v>
      </x:c>
      <x:c r="E22" s="61" t="str">
        <x:v>Baseline human handling cost minus total Resolve operating cost</x:v>
      </x:c>
    </x:row>
    <x:row r="23" ht="25" customHeight="1">
      <x:c r="A23" s="38" t="str">
        <x:v>Paid businesses in add-on scenario</x:v>
      </x:c>
      <x:c r="B23" s="72" t="n">
        <x:f>0</x:f>
        <x:v>0</x:v>
      </x:c>
      <x:c r="C23" s="72" t="n">
        <x:f>Assumptions!B5*Assumptions!B21</x:f>
        <x:v>1000</x:v>
      </x:c>
      <x:c r="D23" s="119" t="n">
        <x:f>Assumptions!B5*Assumptions!B21</x:f>
        <x:v>1000</x:v>
      </x:c>
      <x:c r="E23" s="61" t="str">
        <x:v>5,000 businesses multiplied by assumed paid attach rate</x:v>
      </x:c>
    </x:row>
    <x:row r="24" ht="25" customHeight="1">
      <x:c r="A24" s="38" t="str">
        <x:v>Illustrative add-on revenue (USD)</x:v>
      </x:c>
      <x:c r="B24" s="56" t="n">
        <x:f>0</x:f>
        <x:v>0</x:v>
      </x:c>
      <x:c r="C24" s="56" t="n">
        <x:f>C23*Assumptions!B20</x:f>
        <x:v>12000</x:v>
      </x:c>
      <x:c r="D24" s="65" t="n">
        <x:f>D23*Assumptions!B20</x:f>
        <x:v>12000</x:v>
      </x:c>
      <x:c r="E24" s="61" t="str">
        <x:v>Paid businesses multiplied by proposed $12 monthly price</x:v>
      </x:c>
    </x:row>
    <x:row r="25" ht="25" customHeight="1">
      <x:c r="A25" s="38" t="str">
        <x:v>Contribution after modeled operating cost (USD)</x:v>
      </x:c>
      <x:c r="B25" s="56" t="n">
        <x:f>0</x:f>
        <x:v>0</x:v>
      </x:c>
      <x:c r="C25" s="56" t="n">
        <x:f>C24-C17</x:f>
        <x:v>4100.125</x:v>
      </x:c>
      <x:c r="D25" s="65" t="n">
        <x:f>D24-D17</x:f>
        <x:v>4109.05</x:v>
      </x:c>
      <x:c r="E25" s="61" t="str">
        <x:v>Illustrative add-on revenue minus modeled operating cost; excludes acquisition and initial build</x:v>
      </x:c>
    </x:row>
    <x:row r="26" ht="25" customHeight="1">
      <x:c r="A26" s="38" t="str">
        <x:v>Modeled contribution margin</x:v>
      </x:c>
      <x:c r="B26" s="58" t="n">
        <x:f>0</x:f>
        <x:v>0</x:v>
      </x:c>
      <x:c r="C26" s="58" t="n">
        <x:f>IFERROR(C25/C24,0)</x:f>
        <x:v>0.34167708333333335</x:v>
      </x:c>
      <x:c r="D26" s="66" t="n">
        <x:f>IFERROR(D25/D24,0)</x:f>
        <x:v>0.34242083333333334</x:v>
      </x:c>
      <x:c r="E26" s="61" t="str">
        <x:v>Contribution divided by add-on revenue; not a validated commercial forecast</x:v>
      </x:c>
    </x:row>
    <x:row r="27" ht="25" customHeight="1">
      <x:c r="A27" s="38" t="str">
        <x:v>Included investigation allowance capacity</x:v>
      </x:c>
      <x:c r="B27" s="72" t="n">
        <x:f>0</x:f>
        <x:v>0</x:v>
      </x:c>
      <x:c r="C27" s="72" t="n">
        <x:f>C23*Assumptions!B22</x:f>
        <x:v>4000</x:v>
      </x:c>
      <x:c r="D27" s="119" t="n">
        <x:f>D23*Assumptions!B22</x:f>
        <x:v>4000</x:v>
      </x:c>
      <x:c r="E27" s="61" t="str">
        <x:v>Paid businesses multiplied by proposed included cases per month</x:v>
      </x:c>
    </x:row>
    <x:row r="28" ht="25" customHeight="1">
      <x:c r="A28" s="38" t="str">
        <x:v>Adaptive model calls below included capacity</x:v>
      </x:c>
      <x:c r="B28" s="72" t="n">
        <x:f>0</x:f>
        <x:v>0</x:v>
      </x:c>
      <x:c r="C28" s="72" t="n">
        <x:f>C27-C10</x:f>
        <x:v>500</x:v>
      </x:c>
      <x:c r="D28" s="119" t="n">
        <x:f>D27-D10</x:f>
        <x:v>2600</x:v>
      </x:c>
      <x:c r="E28" s="61" t="str">
        <x:v>Allowance capacity less adaptive model-assisted cases; only a capacity check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4" t="str">
        <x:v>SENSITIVITY | RESOLUTION RATE AND MODEL ROUTING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11" t="str">
        <x:v>Edit the two scenario inputs per row to test economics. Each row recalculates model cost, human handling, net savings, and cost per verified resolution. All values remain illustrative.</x:v>
      </x:c>
      <x:c r="B2" s="11"/>
      <x:c r="C2" s="11"/>
      <x:c r="D2" s="11"/>
      <x:c r="E2" s="11"/>
      <x:c r="F2" s="11"/>
      <x:c r="G2" s="11"/>
      <x:c r="H2" s="11"/>
      <x:c r="I2" s="11"/>
    </x:row>
    <x:row r="4" ht="30" customHeight="1">
      <x:c r="A4" s="20" t="str">
        <x:v>Scenario</x:v>
      </x:c>
      <x:c r="B4" s="20" t="str">
        <x:v>Verified self-service rate</x:v>
      </x:c>
      <x:c r="C4" s="20" t="str">
        <x:v>Model-call share</x:v>
      </x:c>
      <x:c r="D4" s="20" t="str">
        <x:v>Verified resolutions</x:v>
      </x:c>
      <x:c r="E4" s="20" t="str">
        <x:v>Model token cost USD</x:v>
      </x:c>
      <x:c r="F4" s="20" t="str">
        <x:v>Human cost USD</x:v>
      </x:c>
      <x:c r="G4" s="20" t="str">
        <x:v>All-in cost USD</x:v>
      </x:c>
      <x:c r="H4" s="20" t="str">
        <x:v>Net savings vs baseline USD</x:v>
      </x:c>
      <x:c r="I4" s="20" t="str">
        <x:v>Cost per verified resolution USD</x:v>
      </x:c>
    </x:row>
    <x:row r="5" ht="25" customHeight="1">
      <x:c r="A5" s="30" t="str">
        <x:v>Conservative</x:v>
      </x:c>
      <x:c r="B5" s="74" t="n">
        <x:v>0.2</x:v>
      </x:c>
      <x:c r="C5" s="74" t="n">
        <x:v>0.25</x:v>
      </x:c>
      <x:c r="D5" s="75" t="n">
        <x:f>Assumptions!$B$5*Assumptions!$B$6*Assumptions!$B$7*B5</x:f>
        <x:v>700</x:v>
      </x:c>
      <x:c r="E5" s="76" t="n">
        <x:f>(Assumptions!$B$5*Assumptions!$B$6*Assumptions!$B$7*C5*Assumptions!$B$12/1000000)*Assumptions!$B$14+(Assumptions!$B$5*Assumptions!$B$6*Assumptions!$B$7*C5*Assumptions!$B$13/1000000)*Assumptions!$B$15</x:f>
        <x:v>3.71875</x:v>
      </x:c>
      <x:c r="F5" s="76" t="n">
        <x:f>(Assumptions!$B$5*Assumptions!$B$6*Assumptions!$B$7*(1-B5))*Assumptions!$B$10</x:f>
        <x:v>9800</x:v>
      </x:c>
      <x:c r="G5" s="76" t="n">
        <x:f>E5+((Assumptions!$B$5*Assumptions!$B$6*Assumptions!$B$7)*Assumptions!$B$16)+F5+Assumptions!$B$17+Assumptions!$B$18+Assumptions!$B$19</x:f>
        <x:v>10338.71875</x:v>
      </x:c>
      <x:c r="H5" s="76" t="n">
        <x:f>((Assumptions!$B$5*Assumptions!$B$6*Assumptions!$B$7*Assumptions!$B$8)*Assumptions!$B$10)-G5</x:f>
        <x:v>686.28125</x:v>
      </x:c>
      <x:c r="I5" s="76" t="n">
        <x:f>IFERROR(G5/D5,0)</x:f>
        <x:v>14.769598214285715</x:v>
      </x:c>
    </x:row>
    <x:row r="6" ht="25" customHeight="1">
      <x:c r="A6" s="30" t="str">
        <x:v>Conservative</x:v>
      </x:c>
      <x:c r="B6" s="74" t="n">
        <x:v>0.2</x:v>
      </x:c>
      <x:c r="C6" s="74" t="n">
        <x:v>0.4</x:v>
      </x:c>
      <x:c r="D6" s="75" t="n">
        <x:f>Assumptions!$B$5*Assumptions!$B$6*Assumptions!$B$7*B6</x:f>
        <x:v>700</x:v>
      </x:c>
      <x:c r="E6" s="76" t="n">
        <x:f>(Assumptions!$B$5*Assumptions!$B$6*Assumptions!$B$7*C6*Assumptions!$B$12/1000000)*Assumptions!$B$14+(Assumptions!$B$5*Assumptions!$B$6*Assumptions!$B$7*C6*Assumptions!$B$13/1000000)*Assumptions!$B$15</x:f>
        <x:v>5.95</x:v>
      </x:c>
      <x:c r="F6" s="76" t="n">
        <x:f>(Assumptions!$B$5*Assumptions!$B$6*Assumptions!$B$7*(1-B6))*Assumptions!$B$10</x:f>
        <x:v>9800</x:v>
      </x:c>
      <x:c r="G6" s="76" t="n">
        <x:f>E6+((Assumptions!$B$5*Assumptions!$B$6*Assumptions!$B$7)*Assumptions!$B$16)+F6+Assumptions!$B$17+Assumptions!$B$18+Assumptions!$B$19</x:f>
        <x:v>10340.95</x:v>
      </x:c>
      <x:c r="H6" s="76" t="n">
        <x:f>((Assumptions!$B$5*Assumptions!$B$6*Assumptions!$B$7*Assumptions!$B$8)*Assumptions!$B$10)-G6</x:f>
        <x:v>684.0499999999993</x:v>
      </x:c>
      <x:c r="I6" s="76" t="n">
        <x:f>IFERROR(G6/D6,0)</x:f>
        <x:v>14.772785714285716</x:v>
      </x:c>
    </x:row>
    <x:row r="7" ht="25" customHeight="1">
      <x:c r="A7" s="30" t="str">
        <x:v>Conservative</x:v>
      </x:c>
      <x:c r="B7" s="74" t="n">
        <x:v>0.2</x:v>
      </x:c>
      <x:c r="C7" s="74" t="n">
        <x:v>0.6</x:v>
      </x:c>
      <x:c r="D7" s="75" t="n">
        <x:f>Assumptions!$B$5*Assumptions!$B$6*Assumptions!$B$7*B7</x:f>
        <x:v>700</x:v>
      </x:c>
      <x:c r="E7" s="76" t="n">
        <x:f>(Assumptions!$B$5*Assumptions!$B$6*Assumptions!$B$7*C7*Assumptions!$B$12/1000000)*Assumptions!$B$14+(Assumptions!$B$5*Assumptions!$B$6*Assumptions!$B$7*C7*Assumptions!$B$13/1000000)*Assumptions!$B$15</x:f>
        <x:v>8.925</x:v>
      </x:c>
      <x:c r="F7" s="76" t="n">
        <x:f>(Assumptions!$B$5*Assumptions!$B$6*Assumptions!$B$7*(1-B7))*Assumptions!$B$10</x:f>
        <x:v>9800</x:v>
      </x:c>
      <x:c r="G7" s="76" t="n">
        <x:f>E7+((Assumptions!$B$5*Assumptions!$B$6*Assumptions!$B$7)*Assumptions!$B$16)+F7+Assumptions!$B$17+Assumptions!$B$18+Assumptions!$B$19</x:f>
        <x:v>10343.925</x:v>
      </x:c>
      <x:c r="H7" s="76" t="n">
        <x:f>((Assumptions!$B$5*Assumptions!$B$6*Assumptions!$B$7*Assumptions!$B$8)*Assumptions!$B$10)-G7</x:f>
        <x:v>681.0750000000007</x:v>
      </x:c>
      <x:c r="I7" s="76" t="n">
        <x:f>IFERROR(G7/D7,0)</x:f>
        <x:v>14.777035714285713</x:v>
      </x:c>
    </x:row>
    <x:row r="8" ht="25" customHeight="1">
      <x:c r="A8" s="30" t="str">
        <x:v>Target</x:v>
      </x:c>
      <x:c r="B8" s="74" t="n">
        <x:v>0.4</x:v>
      </x:c>
      <x:c r="C8" s="74" t="n">
        <x:v>0.25</x:v>
      </x:c>
      <x:c r="D8" s="75" t="n">
        <x:f>Assumptions!$B$5*Assumptions!$B$6*Assumptions!$B$7*B8</x:f>
        <x:v>1400</x:v>
      </x:c>
      <x:c r="E8" s="76" t="n">
        <x:f>(Assumptions!$B$5*Assumptions!$B$6*Assumptions!$B$7*C8*Assumptions!$B$12/1000000)*Assumptions!$B$14+(Assumptions!$B$5*Assumptions!$B$6*Assumptions!$B$7*C8*Assumptions!$B$13/1000000)*Assumptions!$B$15</x:f>
        <x:v>3.71875</x:v>
      </x:c>
      <x:c r="F8" s="76" t="n">
        <x:f>(Assumptions!$B$5*Assumptions!$B$6*Assumptions!$B$7*(1-B8))*Assumptions!$B$10</x:f>
        <x:v>7350</x:v>
      </x:c>
      <x:c r="G8" s="76" t="n">
        <x:f>E8+((Assumptions!$B$5*Assumptions!$B$6*Assumptions!$B$7)*Assumptions!$B$16)+F8+Assumptions!$B$17+Assumptions!$B$18+Assumptions!$B$19</x:f>
        <x:v>7888.71875</x:v>
      </x:c>
      <x:c r="H8" s="76" t="n">
        <x:f>((Assumptions!$B$5*Assumptions!$B$6*Assumptions!$B$7*Assumptions!$B$8)*Assumptions!$B$10)-G8</x:f>
        <x:v>3136.28125</x:v>
      </x:c>
      <x:c r="I8" s="76" t="n">
        <x:f>IFERROR(G8/D8,0)</x:f>
        <x:v>5.634799107142857</x:v>
      </x:c>
    </x:row>
    <x:row r="9" ht="25" customHeight="1">
      <x:c r="A9" s="30" t="str">
        <x:v>Target</x:v>
      </x:c>
      <x:c r="B9" s="74" t="n">
        <x:v>0.4</x:v>
      </x:c>
      <x:c r="C9" s="74" t="n">
        <x:v>0.4</x:v>
      </x:c>
      <x:c r="D9" s="75" t="n">
        <x:f>Assumptions!$B$5*Assumptions!$B$6*Assumptions!$B$7*B9</x:f>
        <x:v>1400</x:v>
      </x:c>
      <x:c r="E9" s="76" t="n">
        <x:f>(Assumptions!$B$5*Assumptions!$B$6*Assumptions!$B$7*C9*Assumptions!$B$12/1000000)*Assumptions!$B$14+(Assumptions!$B$5*Assumptions!$B$6*Assumptions!$B$7*C9*Assumptions!$B$13/1000000)*Assumptions!$B$15</x:f>
        <x:v>5.95</x:v>
      </x:c>
      <x:c r="F9" s="76" t="n">
        <x:f>(Assumptions!$B$5*Assumptions!$B$6*Assumptions!$B$7*(1-B9))*Assumptions!$B$10</x:f>
        <x:v>7350</x:v>
      </x:c>
      <x:c r="G9" s="76" t="n">
        <x:f>E9+((Assumptions!$B$5*Assumptions!$B$6*Assumptions!$B$7)*Assumptions!$B$16)+F9+Assumptions!$B$17+Assumptions!$B$18+Assumptions!$B$19</x:f>
        <x:v>7890.95</x:v>
      </x:c>
      <x:c r="H9" s="76" t="n">
        <x:f>((Assumptions!$B$5*Assumptions!$B$6*Assumptions!$B$7*Assumptions!$B$8)*Assumptions!$B$10)-G9</x:f>
        <x:v>3134.05</x:v>
      </x:c>
      <x:c r="I9" s="76" t="n">
        <x:f>IFERROR(G9/D9,0)</x:f>
        <x:v>5.636392857142857</x:v>
      </x:c>
    </x:row>
    <x:row r="10" ht="25" customHeight="1">
      <x:c r="A10" s="30" t="str">
        <x:v>Target</x:v>
      </x:c>
      <x:c r="B10" s="74" t="n">
        <x:v>0.4</x:v>
      </x:c>
      <x:c r="C10" s="74" t="n">
        <x:v>0.6</x:v>
      </x:c>
      <x:c r="D10" s="75" t="n">
        <x:f>Assumptions!$B$5*Assumptions!$B$6*Assumptions!$B$7*B10</x:f>
        <x:v>1400</x:v>
      </x:c>
      <x:c r="E10" s="76" t="n">
        <x:f>(Assumptions!$B$5*Assumptions!$B$6*Assumptions!$B$7*C10*Assumptions!$B$12/1000000)*Assumptions!$B$14+(Assumptions!$B$5*Assumptions!$B$6*Assumptions!$B$7*C10*Assumptions!$B$13/1000000)*Assumptions!$B$15</x:f>
        <x:v>8.925</x:v>
      </x:c>
      <x:c r="F10" s="76" t="n">
        <x:f>(Assumptions!$B$5*Assumptions!$B$6*Assumptions!$B$7*(1-B10))*Assumptions!$B$10</x:f>
        <x:v>7350</x:v>
      </x:c>
      <x:c r="G10" s="76" t="n">
        <x:f>E10+((Assumptions!$B$5*Assumptions!$B$6*Assumptions!$B$7)*Assumptions!$B$16)+F10+Assumptions!$B$17+Assumptions!$B$18+Assumptions!$B$19</x:f>
        <x:v>7893.925</x:v>
      </x:c>
      <x:c r="H10" s="76" t="n">
        <x:f>((Assumptions!$B$5*Assumptions!$B$6*Assumptions!$B$7*Assumptions!$B$8)*Assumptions!$B$10)-G10</x:f>
        <x:v>3131.075</x:v>
      </x:c>
      <x:c r="I10" s="76" t="n">
        <x:f>IFERROR(G10/D10,0)</x:f>
        <x:v>5.638517857142857</x:v>
      </x:c>
    </x:row>
    <x:row r="11" ht="25" customHeight="1">
      <x:c r="A11" s="30" t="str">
        <x:v>Upside</x:v>
      </x:c>
      <x:c r="B11" s="74" t="n">
        <x:v>0.6</x:v>
      </x:c>
      <x:c r="C11" s="74" t="n">
        <x:v>0.25</x:v>
      </x:c>
      <x:c r="D11" s="75" t="n">
        <x:f>Assumptions!$B$5*Assumptions!$B$6*Assumptions!$B$7*B11</x:f>
        <x:v>2100</x:v>
      </x:c>
      <x:c r="E11" s="76" t="n">
        <x:f>(Assumptions!$B$5*Assumptions!$B$6*Assumptions!$B$7*C11*Assumptions!$B$12/1000000)*Assumptions!$B$14+(Assumptions!$B$5*Assumptions!$B$6*Assumptions!$B$7*C11*Assumptions!$B$13/1000000)*Assumptions!$B$15</x:f>
        <x:v>3.71875</x:v>
      </x:c>
      <x:c r="F11" s="76" t="n">
        <x:f>(Assumptions!$B$5*Assumptions!$B$6*Assumptions!$B$7*(1-B11))*Assumptions!$B$10</x:f>
        <x:v>4900</x:v>
      </x:c>
      <x:c r="G11" s="76" t="n">
        <x:f>E11+((Assumptions!$B$5*Assumptions!$B$6*Assumptions!$B$7)*Assumptions!$B$16)+F11+Assumptions!$B$17+Assumptions!$B$18+Assumptions!$B$19</x:f>
        <x:v>5438.71875</x:v>
      </x:c>
      <x:c r="H11" s="76" t="n">
        <x:f>((Assumptions!$B$5*Assumptions!$B$6*Assumptions!$B$7*Assumptions!$B$8)*Assumptions!$B$10)-G11</x:f>
        <x:v>5586.28125</x:v>
      </x:c>
      <x:c r="I11" s="76" t="n">
        <x:f>IFERROR(G11/D11,0)</x:f>
        <x:v>2.5898660714285713</x:v>
      </x:c>
    </x:row>
    <x:row r="12" ht="25" customHeight="1">
      <x:c r="A12" s="30" t="str">
        <x:v>Upside</x:v>
      </x:c>
      <x:c r="B12" s="74" t="n">
        <x:v>0.6</x:v>
      </x:c>
      <x:c r="C12" s="74" t="n">
        <x:v>0.4</x:v>
      </x:c>
      <x:c r="D12" s="75" t="n">
        <x:f>Assumptions!$B$5*Assumptions!$B$6*Assumptions!$B$7*B12</x:f>
        <x:v>2100</x:v>
      </x:c>
      <x:c r="E12" s="76" t="n">
        <x:f>(Assumptions!$B$5*Assumptions!$B$6*Assumptions!$B$7*C12*Assumptions!$B$12/1000000)*Assumptions!$B$14+(Assumptions!$B$5*Assumptions!$B$6*Assumptions!$B$7*C12*Assumptions!$B$13/1000000)*Assumptions!$B$15</x:f>
        <x:v>5.95</x:v>
      </x:c>
      <x:c r="F12" s="76" t="n">
        <x:f>(Assumptions!$B$5*Assumptions!$B$6*Assumptions!$B$7*(1-B12))*Assumptions!$B$10</x:f>
        <x:v>4900</x:v>
      </x:c>
      <x:c r="G12" s="76" t="n">
        <x:f>E12+((Assumptions!$B$5*Assumptions!$B$6*Assumptions!$B$7)*Assumptions!$B$16)+F12+Assumptions!$B$17+Assumptions!$B$18+Assumptions!$B$19</x:f>
        <x:v>5440.95</x:v>
      </x:c>
      <x:c r="H12" s="76" t="n">
        <x:f>((Assumptions!$B$5*Assumptions!$B$6*Assumptions!$B$7*Assumptions!$B$8)*Assumptions!$B$10)-G12</x:f>
        <x:v>5584.05</x:v>
      </x:c>
      <x:c r="I12" s="76" t="n">
        <x:f>IFERROR(G12/D12,0)</x:f>
        <x:v>2.5909285714285715</x:v>
      </x:c>
    </x:row>
    <x:row r="13" ht="25" customHeight="1">
      <x:c r="A13" s="30" t="str">
        <x:v>Upside</x:v>
      </x:c>
      <x:c r="B13" s="74" t="n">
        <x:v>0.6</x:v>
      </x:c>
      <x:c r="C13" s="74" t="n">
        <x:v>0.6</x:v>
      </x:c>
      <x:c r="D13" s="75" t="n">
        <x:f>Assumptions!$B$5*Assumptions!$B$6*Assumptions!$B$7*B13</x:f>
        <x:v>2100</x:v>
      </x:c>
      <x:c r="E13" s="76" t="n">
        <x:f>(Assumptions!$B$5*Assumptions!$B$6*Assumptions!$B$7*C13*Assumptions!$B$12/1000000)*Assumptions!$B$14+(Assumptions!$B$5*Assumptions!$B$6*Assumptions!$B$7*C13*Assumptions!$B$13/1000000)*Assumptions!$B$15</x:f>
        <x:v>8.925</x:v>
      </x:c>
      <x:c r="F13" s="76" t="n">
        <x:f>(Assumptions!$B$5*Assumptions!$B$6*Assumptions!$B$7*(1-B13))*Assumptions!$B$10</x:f>
        <x:v>4900</x:v>
      </x:c>
      <x:c r="G13" s="76" t="n">
        <x:f>E13+((Assumptions!$B$5*Assumptions!$B$6*Assumptions!$B$7)*Assumptions!$B$16)+F13+Assumptions!$B$17+Assumptions!$B$18+Assumptions!$B$19</x:f>
        <x:v>5443.925</x:v>
      </x:c>
      <x:c r="H13" s="76" t="n">
        <x:f>((Assumptions!$B$5*Assumptions!$B$6*Assumptions!$B$7*Assumptions!$B$8)*Assumptions!$B$10)-G13</x:f>
        <x:v>5581.075</x:v>
      </x:c>
      <x:c r="I13" s="76" t="n">
        <x:f>IFERROR(G13/D13,0)</x:f>
        <x:v>2.592345238095238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3" hidden="0" customWidth="1"/>
    <x:col min="3" max="3" width="55" hidden="0" customWidth="1"/>
    <x:col min="4" max="4" width="36" hidden="0" customWidth="1"/>
    <x:col min="5" max="5" width="43" hidden="0" customWidth="1"/>
  </x:cols>
  <x:sheetData>
    <x:row r="1" ht="32" customHeight="1">
      <x:c r="A1" s="4" t="str">
        <x:v>AUDIT, BILLING AND OPERATIONAL CONTROLS</x:v>
      </x:c>
      <x:c r="B1" s="4"/>
      <x:c r="C1" s="4"/>
      <x:c r="D1" s="4"/>
      <x:c r="E1" s="4"/>
    </x:row>
    <x:row r="2" ht="28" customHeight="1">
      <x:c r="A2" s="11" t="str">
        <x:v>These are proposed operational controls for a future pilot. Thresholds are editable on Assumptions. Do not enable automatic overage billing without clear plan terms and explicit customer consent.</x:v>
      </x:c>
      <x:c r="B2" s="11"/>
      <x:c r="C2" s="11"/>
      <x:c r="D2" s="11"/>
      <x:c r="E2" s="11"/>
    </x:row>
    <x:row r="4" ht="30" customHeight="1">
      <x:c r="A4" s="20" t="str">
        <x:v>Control</x:v>
      </x:c>
      <x:c r="B4" s="20" t="str">
        <x:v>Cadence</x:v>
      </x:c>
      <x:c r="C4" s="20" t="str">
        <x:v>What to reconcile / inspect</x:v>
      </x:c>
      <x:c r="D4" s="20" t="str">
        <x:v>Alert threshold</x:v>
      </x:c>
      <x:c r="E4" s="20" t="str">
        <x:v>Response</x:v>
      </x:c>
    </x:row>
    <x:row r="5" ht="52" customHeight="1">
      <x:c r="A5" s="38" t="str">
        <x:v>Usage reconciliation</x:v>
      </x:c>
      <x:c r="B5" s="80" t="str">
        <x:v>Daily; monthly close</x:v>
      </x:c>
      <x:c r="C5" s="34" t="str">
        <x:v>Compare unique case events, product usage ledger, model provider usage export and billable events by workspace and period.</x:v>
      </x:c>
      <x:c r="D5" s="40" t="str">
        <x:v>ABS(event count - provider count) / MAX(provider count, 1) &gt; Assumptions!B23</x:v>
      </x:c>
      <x:c r="E5" s="82" t="str">
        <x:v>Investigate variance; hold affected invoices if unexplained.</x:v>
      </x:c>
    </x:row>
    <x:row r="6" ht="52" customHeight="1">
      <x:c r="A6" s="38" t="str">
        <x:v>Cost per verified resolution</x:v>
      </x:c>
      <x:c r="B6" s="80" t="str">
        <x:v>Weekly</x:v>
      </x:c>
      <x:c r="C6" s="34" t="str">
        <x:v>Total token, variable, human, infrastructure and QA costs divided by verified self-service outcomes.</x:v>
      </x:c>
      <x:c r="D6" s="40" t="str">
        <x:v>More than Assumptions!B24 above approved target for 2 consecutive weeks.</x:v>
      </x:c>
      <x:c r="E6" s="82" t="str">
        <x:v>Review model routing, retries, playbooks and target costs.</x:v>
      </x:c>
    </x:row>
    <x:row r="7" ht="52" customHeight="1">
      <x:c r="A7" s="38" t="str">
        <x:v>Token use and routing mix</x:v>
      </x:c>
      <x:c r="B7" s="80" t="str">
        <x:v>Daily</x:v>
      </x:c>
      <x:c r="C7" s="34" t="str">
        <x:v>Track input/output tokens, average calls per eligible case, routing share and retries.</x:v>
      </x:c>
      <x:c r="D7" s="40" t="str">
        <x:v>Average tokens or calls rise &gt;25% week over week, or model-call share exceeds budget.</x:v>
      </x:c>
      <x:c r="E7" s="82" t="str">
        <x:v>Inspect prompt/context growth and retry loops.</x:v>
      </x:c>
    </x:row>
    <x:row r="8" ht="52" customHeight="1">
      <x:c r="A8" s="38" t="str">
        <x:v>Duplicate billing</x:v>
      </x:c>
      <x:c r="B8" s="80" t="str">
        <x:v>Each billable event</x:v>
      </x:c>
      <x:c r="C8" s="34" t="str">
        <x:v>Use unique issue ID and idempotency key; retries must not create another charge.</x:v>
      </x:c>
      <x:c r="D8" s="40" t="str">
        <x:v>Any duplicate charge.</x:v>
      </x:c>
      <x:c r="E8" s="82" t="str">
        <x:v>Reverse charge and investigate before resuming billing.</x:v>
      </x:c>
    </x:row>
    <x:row r="9" ht="52" customHeight="1">
      <x:c r="A9" s="38" t="str">
        <x:v>Entitlements and allowances</x:v>
      </x:c>
      <x:c r="B9" s="80" t="str">
        <x:v>Each event; monthly reset</x:v>
      </x:c>
      <x:c r="C9" s="34" t="str">
        <x:v>Check plan, included diagnostic allowance, reset date and any opted-in overage rule.</x:v>
      </x:c>
      <x:c r="D9" s="40" t="str">
        <x:v>Notify at 80% and 100%; no unannounced overage.</x:v>
      </x:c>
      <x:c r="E9" s="82" t="str">
        <x:v>Pause additional billable actions or request explicit customer consent.</x:v>
      </x:c>
    </x:row>
    <x:row r="10" ht="52" customHeight="1">
      <x:c r="A10" s="38" t="str">
        <x:v>Contribution margin</x:v>
      </x:c>
      <x:c r="B10" s="80" t="str">
        <x:v>Monthly</x:v>
      </x:c>
      <x:c r="C10" s="34" t="str">
        <x:v>Reconcile add-on revenue, modeled operating cost, refunds and credits.</x:v>
      </x:c>
      <x:c r="D10" s="40" t="str">
        <x:v>Negative contribution or margin below approved target.</x:v>
      </x:c>
      <x:c r="E10" s="82" t="str">
        <x:v>Review packaging, attach rate, support coverage and variable costs.</x:v>
      </x:c>
    </x:row>
    <x:row r="11" ht="52" customHeight="1">
      <x:c r="A11" s="38" t="str">
        <x:v>Resolution validity</x:v>
      </x:c>
      <x:c r="B11" s="80" t="str">
        <x:v>Weekly sample</x:v>
      </x:c>
      <x:c r="C11" s="34" t="str">
        <x:v>Inspect cases marked resolved and require a state change or observable task-completion evidence.</x:v>
      </x:c>
      <x:c r="D11" s="40" t="str">
        <x:v>False resolution rate exceeds Assumptions!B25.</x:v>
      </x:c>
      <x:c r="E11" s="82" t="str">
        <x:v>Pause expansion and correct diagnosis/verification logic.</x:v>
      </x:c>
    </x:row>
    <x:row r="12" ht="52" customHeight="1">
      <x:c r="A12" s="38" t="str">
        <x:v>Escalation quality</x:v>
      </x:c>
      <x:c r="B12" s="80" t="str">
        <x:v>Weekly sample</x:v>
      </x:c>
      <x:c r="C12" s="34" t="str">
        <x:v>Audit both escalated cases and cases handled automatically that should have escalated.</x:v>
      </x:c>
      <x:c r="D12" s="40" t="str">
        <x:v>Any serious missed escalation; track avoidable escalations too.</x:v>
      </x:c>
      <x:c r="E12" s="82" t="str">
        <x:v>Update boundaries and regression tests.</x:v>
      </x:c>
    </x:row>
    <x:row r="13" ht="52" customHeight="1">
      <x:c r="A13" s="38" t="str">
        <x:v>Security and privacy</x:v>
      </x:c>
      <x:c r="B13" s="80" t="str">
        <x:v>Before release and weekly</x:v>
      </x:c>
      <x:c r="C13" s="34" t="str">
        <x:v>Check least privilege, redaction, retention, access logs and confirmation for consequential actions.</x:v>
      </x:c>
      <x:c r="D13" s="40" t="str">
        <x:v>Any credential exposure or unconfirmed consequential action.</x:v>
      </x:c>
      <x:c r="E13" s="82" t="str">
        <x:v>Stop affected flow, contain incident and review access.</x:v>
      </x:c>
    </x:row>
    <x:row r="14" ht="52" customHeight="1">
      <x:c r="A14" s="38" t="str">
        <x:v>Model price and provider invoice</x:v>
      </x:c>
      <x:c r="B14" s="80" t="str">
        <x:v>Monthly and before release</x:v>
      </x:c>
      <x:c r="C14" s="34" t="str">
        <x:v>Compare official price page with configured rates and provider invoice; verify billed input/output units.</x:v>
      </x:c>
      <x:c r="D14" s="40" t="str">
        <x:v>Price change or unexplained invoice variance.</x:v>
      </x:c>
      <x:c r="E14" s="82" t="str">
        <x:v>Update assumptions and recompute unit economics before release.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66" hidden="0" customWidth="1"/>
    <x:col min="3" max="3" width="64" hidden="0" customWidth="1"/>
  </x:cols>
  <x:sheetData>
    <x:row r="1" ht="32" customHeight="1">
      <x:c r="A1" s="4" t="str">
        <x:v>SOURCES, ASSUMPTIONS AND LIMITATIONS</x:v>
      </x:c>
      <x:c r="B1" s="4"/>
      <x:c r="C1" s="4"/>
    </x:row>
    <x:row r="2" ht="28" customHeight="1">
      <x:c r="A2" s="11" t="str">
        <x:v>Keep the model auditable. Inputs are labelled by source type; replace assumptions with ticket analytics and measured pilot data before making a launch or pricing decision.</x:v>
      </x:c>
      <x:c r="B2" s="11"/>
      <x:c r="C2" s="11"/>
    </x:row>
    <x:row r="4" ht="30" customHeight="1">
      <x:c r="A4" s="20" t="str">
        <x:v>Item</x:v>
      </x:c>
      <x:c r="B4" s="20" t="str">
        <x:v>Source / value used</x:v>
      </x:c>
      <x:c r="C4" s="20" t="str">
        <x:v>How to interpret it</x:v>
      </x:c>
    </x:row>
    <x:row r="5" ht="42" customHeight="1">
      <x:c r="A5" s="38" t="str">
        <x:v>Assignment scenario</x:v>
      </x:c>
      <x:c r="B5" s="84" t="str">
        <x:v>5,000 active businesses; Product Intern Assignment, Assignment A.</x:v>
      </x:c>
      <x:c r="C5" s="40" t="str">
        <x:v>The only customer-scale number supplied by the brief. Not asserted as Cheerio's actual customer count.</x:v>
      </x:c>
    </x:row>
    <x:row r="6" ht="42" customHeight="1">
      <x:c r="A6" s="38" t="str">
        <x:v>Cheerio onboarding support</x:v>
      </x:c>
      <x:c r="B6" s="84" t="str">
        <x:v>https://www.cheerioai.com/platform-features-faqs/how-to-get-onboarding-support-for-your-cheerio-premium-account</x:v>
      </x:c>
      <x:c r="C6" s="40" t="str">
        <x:v>Public documentation describes help for initial configuration. It does not give support ticket counts or cost per ticket.</x:v>
      </x:c>
    </x:row>
    <x:row r="7" ht="42" customHeight="1">
      <x:c r="A7" s="38" t="str">
        <x:v>Cheerio MCP documentation</x:v>
      </x:c>
      <x:c r="B7" s="84" t="str">
        <x:v>https://www.cheerioai.com/platform-features-faqs/get-started-with-cheerio-mcp</x:v>
      </x:c>
      <x:c r="C7" s="40" t="str">
        <x:v>Used to understand that Cheerio already exposes account data and actions through an authorized MCP interface. Does not establish internal tool coverage for every scenario.</x:v>
      </x:c>
    </x:row>
    <x:row r="8" ht="42" customHeight="1">
      <x:c r="A8" s="38" t="str">
        <x:v>Template creation guide</x:v>
      </x:c>
      <x:c r="B8" s="84" t="str">
        <x:v>https://www.cheerioai.com/platform-features-faqs/how-to-create-whatsapp-message-template-on-cheerio</x:v>
      </x:c>
      <x:c r="C8" s="40" t="str">
        <x:v>Public description of template creation and status lifecycle; not proof of a live product defect.</x:v>
      </x:c>
    </x:row>
    <x:row r="9" ht="42" customHeight="1">
      <x:c r="A9" s="38" t="str">
        <x:v>Meta template review documentation</x:v>
      </x:c>
      <x:c r="B9" s="84" t="str">
        <x:v>https://developers.facebook.com/documentation/business-messaging/whatsapp/templates/template-review/</x:v>
      </x:c>
      <x:c r="C9" s="40" t="str">
        <x:v>Supports the distinction between template status and actions available under Meta's review process.</x:v>
      </x:c>
    </x:row>
    <x:row r="10" ht="42" customHeight="1">
      <x:c r="A10" s="38" t="str">
        <x:v>Model pricing</x:v>
      </x:c>
      <x:c r="B10" s="84" t="str">
        <x:v>https://ai.google.dev/gemini-api/docs/pricing</x:v>
      </x:c>
      <x:c r="C10" s="40" t="str">
        <x:v>Gemini 3.1 Flash-Lite standard paid text prices checked 15 Oct 2026: $0.25 per million input tokens and $1.50 per million output tokens. Recheck before implementation.</x:v>
      </x:c>
    </x:row>
    <x:row r="11" ht="42" customHeight="1">
      <x:c r="A11" s="38" t="str">
        <x:v>Paid-tier assumption</x:v>
      </x:c>
      <x:c r="B11" s="84" t="str">
        <x:v>Gemini API pricing page above.</x:v>
      </x:c>
      <x:c r="C11" s="40" t="str">
        <x:v>Model uses paid tier rates, not free-tier pricing. Provider conditions, data handling and contracts must be reviewed before use with customer data.</x:v>
      </x:c>
    </x:row>
    <x:row r="12" ht="42" customHeight="1">
      <x:c r="A12" s="38" t="str">
        <x:v>Monthly query rate</x:v>
      </x:c>
      <x:c r="B12" s="84" t="str">
        <x:v>2 support queries per business per month.</x:v>
      </x:c>
      <x:c r="C12" s="40" t="str">
        <x:v>ASSUMPTION; replace with internal support analytics.</x:v>
      </x:c>
    </x:row>
    <x:row r="13" ht="42" customHeight="1">
      <x:c r="A13" s="38" t="str">
        <x:v>Eligible pilot share</x:v>
      </x:c>
      <x:c r="B13" s="84" t="str">
        <x:v>35% of support queries.</x:v>
      </x:c>
      <x:c r="C13" s="40" t="str">
        <x:v>ASSUMPTION; use actual issue tags and support data to validate.</x:v>
      </x:c>
    </x:row>
    <x:row r="14" ht="42" customHeight="1">
      <x:c r="A14" s="38" t="str">
        <x:v>Baseline human-handled share</x:v>
      </x:c>
      <x:c r="B14" s="84" t="str">
        <x:v>90% of eligible issues.</x:v>
      </x:c>
      <x:c r="C14" s="40" t="str">
        <x:v>ASSUMPTION used only for comparison; current self-service rate is not publicly known.</x:v>
      </x:c>
    </x:row>
    <x:row r="15" ht="42" customHeight="1">
      <x:c r="A15" s="38" t="str">
        <x:v>Month-three verified self-service rate</x:v>
      </x:c>
      <x:c r="B15" s="84" t="str">
        <x:v>40% of eligible pilot issues.</x:v>
      </x:c>
      <x:c r="C15" s="40" t="str">
        <x:v>PROPOSED target to validate, not a forecast or result.</x:v>
      </x:c>
    </x:row>
    <x:row r="16" ht="42" customHeight="1">
      <x:c r="A16" s="38" t="str">
        <x:v>Human handling cost</x:v>
      </x:c>
      <x:c r="B16" s="84" t="str">
        <x:v>$3.50 per handled query.</x:v>
      </x:c>
      <x:c r="C16" s="40" t="str">
        <x:v>ASSUMPTION; replace with measured loaded labour and tooling cost.</x:v>
      </x:c>
    </x:row>
    <x:row r="17" ht="42" customHeight="1">
      <x:c r="A17" s="38" t="str">
        <x:v>Token usage</x:v>
      </x:c>
      <x:c r="B17" s="84" t="str">
        <x:v>8,000 input and 1,500 output tokens per model-assisted issue.</x:v>
      </x:c>
      <x:c r="C17" s="40" t="str">
        <x:v>ASSUMPTION representing context inspection and a concise explanation; actual token logs will differ.</x:v>
      </x:c>
    </x:row>
    <x:row r="18" ht="42" customHeight="1">
      <x:c r="A18" s="38" t="str">
        <x:v>Other variable cost</x:v>
      </x:c>
      <x:c r="B18" s="84" t="str">
        <x:v>$0.01 per eligible issue.</x:v>
      </x:c>
      <x:c r="C18" s="40" t="str">
        <x:v>ASSUMPTION for logging, storage and tooling outside model tokens.</x:v>
      </x:c>
    </x:row>
    <x:row r="19" ht="42" customHeight="1">
      <x:c r="A19" s="38" t="str">
        <x:v>Fixed monthly allocations</x:v>
      </x:c>
      <x:c r="B19" s="84" t="str">
        <x:v>$150 infrastructure/logging + $100 QA/audit + $250 support/product overhead.</x:v>
      </x:c>
      <x:c r="C19" s="40" t="str">
        <x:v>ASSUMPTIONS; excludes initial engineering build, tax, customer acquisition, third-party enterprise fees and exceptional incidents.</x:v>
      </x:c>
    </x:row>
    <x:row r="20" ht="42" customHeight="1">
      <x:c r="A20" s="38" t="str">
        <x:v>Pricing scenario</x:v>
      </x:c>
      <x:c r="B20" s="84" t="str">
        <x:v>$12 per paid business/month; 20% attach; 4 included AI-assisted investigations.</x:v>
      </x:c>
      <x:c r="C20" s="40" t="str">
        <x:v>HYPOTHESIS to test with customers. No willingness-to-pay data is available. Add-on includes reviewed Fix Memory and enhanced resolution reporting; do not silently bill overages.</x:v>
      </x:c>
    </x:row>
    <x:row r="21" ht="42" customHeight="1">
      <x:c r="A21" s="38" t="str">
        <x:v>Savings interpretation</x:v>
      </x:c>
      <x:c r="B21" s="84" t="str">
        <x:v>Baseline human handling cost minus Resolve's full modeled operating cost.</x:v>
      </x:c>
      <x:c r="C21" s="40" t="str">
        <x:v>This is scenario math, not realized savings. Count a ticket as avoided only if pilot evidence proves the customer completed the task without human handling.</x:v>
      </x:c>
    </x:row>
    <x:row r="22" ht="42" customHeight="1">
      <x:c r="A22" s="38" t="str">
        <x:v>Scope and exclusions</x:v>
      </x:c>
      <x:c r="B22" s="84" t="str">
        <x:v>Support diagnosis only; no WhatsApp or Meta message charges are included.</x:v>
      </x:c>
      <x:c r="C22" s="40" t="str">
        <x:v>The prototype does not send messages or change live configurations. All showcased data is simulated.</x:v>
      </x:c>
    </x:row>
  </x:sheetData>
  <x:mergeCells>
    <x:mergeCell ref="A1:C1"/>
    <x:mergeCell ref="A2:C2"/>
  </x:mergeCells>
  <x:pageMargins left="0.7" right="0.7" top="0.75" bottom="0.75" header="0.3" footer="0.3"/>
</x:worksheet>
</file>